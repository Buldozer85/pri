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kola\PRI1\project\"/>
    </mc:Choice>
  </mc:AlternateContent>
  <bookViews>
    <workbookView xWindow="0" yWindow="0" windowWidth="19440" windowHeight="7905"/>
  </bookViews>
  <sheets>
    <sheet name="Timeline" sheetId="1" r:id="rId1"/>
    <sheet name="Total" sheetId="8" r:id="rId2"/>
    <sheet name="WP" sheetId="10" r:id="rId3"/>
    <sheet name="Partner 1" sheetId="2" r:id="rId4"/>
    <sheet name="Partner 2" sheetId="3" r:id="rId5"/>
    <sheet name="Partner 3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1" i="1" l="1"/>
  <c r="E8" i="8"/>
  <c r="E6" i="8"/>
  <c r="D8" i="8"/>
  <c r="D6" i="8"/>
  <c r="C8" i="8"/>
  <c r="C6" i="8"/>
  <c r="E4" i="8" l="1"/>
  <c r="D4" i="8"/>
  <c r="C4" i="8"/>
  <c r="E9" i="8" l="1"/>
  <c r="D9" i="8"/>
  <c r="AR32" i="1"/>
  <c r="C9" i="8" l="1"/>
  <c r="AX32" i="1"/>
  <c r="AV32" i="1"/>
  <c r="AT32" i="1"/>
  <c r="C9" i="4"/>
  <c r="C9" i="3"/>
  <c r="C9" i="2"/>
  <c r="AR33" i="1" l="1"/>
  <c r="AV33" i="1" l="1"/>
  <c r="AX33" i="1"/>
  <c r="AT33" i="1"/>
  <c r="AR8" i="1"/>
  <c r="AR9" i="1"/>
  <c r="AV9" i="1" s="1"/>
  <c r="AR11" i="1"/>
  <c r="AR12" i="1"/>
  <c r="AR13" i="1"/>
  <c r="AR14" i="1"/>
  <c r="AR16" i="1"/>
  <c r="AR17" i="1"/>
  <c r="AR18" i="1"/>
  <c r="AR20" i="1"/>
  <c r="AR21" i="1"/>
  <c r="AR22" i="1"/>
  <c r="AR23" i="1"/>
  <c r="AR24" i="1"/>
  <c r="AR26" i="1"/>
  <c r="AR27" i="1"/>
  <c r="AR28" i="1"/>
  <c r="AR29" i="1"/>
  <c r="AR30" i="1"/>
  <c r="AR31" i="1"/>
  <c r="AR7" i="1"/>
  <c r="AX28" i="1" l="1"/>
  <c r="AV28" i="1"/>
  <c r="AX18" i="1"/>
  <c r="AV18" i="1"/>
  <c r="AX13" i="1"/>
  <c r="AV13" i="1"/>
  <c r="AV27" i="1"/>
  <c r="AX27" i="1"/>
  <c r="AV17" i="1"/>
  <c r="AX17" i="1"/>
  <c r="AV12" i="1"/>
  <c r="AX12" i="1"/>
  <c r="AX26" i="1"/>
  <c r="AV26" i="1"/>
  <c r="AX21" i="1"/>
  <c r="AV21" i="1"/>
  <c r="AX16" i="1"/>
  <c r="AV16" i="1"/>
  <c r="AT16" i="1"/>
  <c r="AX11" i="1"/>
  <c r="AV11" i="1"/>
  <c r="AX7" i="1"/>
  <c r="AV7" i="1"/>
  <c r="AV23" i="1"/>
  <c r="AX23" i="1"/>
  <c r="AT23" i="1"/>
  <c r="AX8" i="1"/>
  <c r="AV8" i="1"/>
  <c r="AV31" i="1"/>
  <c r="AX31" i="1"/>
  <c r="AV22" i="1"/>
  <c r="AX22" i="1"/>
  <c r="AX30" i="1"/>
  <c r="AV30" i="1"/>
  <c r="AX29" i="1"/>
  <c r="AV29" i="1"/>
  <c r="AX24" i="1"/>
  <c r="AV24" i="1"/>
  <c r="AX20" i="1"/>
  <c r="AV20" i="1"/>
  <c r="AX14" i="1"/>
  <c r="AV14" i="1"/>
  <c r="AX9" i="1"/>
  <c r="AT11" i="1"/>
  <c r="AT26" i="1"/>
  <c r="AX10" i="1" l="1"/>
  <c r="D8" i="10" s="1"/>
  <c r="AX19" i="1"/>
  <c r="F8" i="10" s="1"/>
  <c r="AX6" i="1"/>
  <c r="C8" i="10" s="1"/>
  <c r="AX15" i="1"/>
  <c r="E8" i="10" s="1"/>
  <c r="AV15" i="1"/>
  <c r="E7" i="10" s="1"/>
  <c r="AV19" i="1"/>
  <c r="F7" i="10" s="1"/>
  <c r="AV10" i="1"/>
  <c r="AV6" i="1"/>
  <c r="C7" i="10" s="1"/>
  <c r="AX25" i="1"/>
  <c r="G8" i="10" s="1"/>
  <c r="AV25" i="1"/>
  <c r="G7" i="10" s="1"/>
  <c r="D7" i="10"/>
  <c r="AT31" i="1"/>
  <c r="AT24" i="1"/>
  <c r="AT9" i="1"/>
  <c r="AT30" i="1"/>
  <c r="AT27" i="1"/>
  <c r="AT14" i="1"/>
  <c r="AT20" i="1"/>
  <c r="AT7" i="1"/>
  <c r="AT29" i="1"/>
  <c r="AT22" i="1"/>
  <c r="AT18" i="1"/>
  <c r="AT13" i="1"/>
  <c r="AT8" i="1"/>
  <c r="AT28" i="1"/>
  <c r="AT17" i="1"/>
  <c r="AT12" i="1"/>
  <c r="AT6" i="1" l="1"/>
  <c r="AT25" i="1"/>
  <c r="G6" i="10" s="1"/>
  <c r="G9" i="10" s="1"/>
  <c r="AT19" i="1"/>
  <c r="F6" i="10" s="1"/>
  <c r="F9" i="10" s="1"/>
  <c r="AT15" i="1"/>
  <c r="E6" i="10" s="1"/>
  <c r="E9" i="10" s="1"/>
  <c r="AT10" i="1"/>
  <c r="D6" i="10" s="1"/>
  <c r="D9" i="10" s="1"/>
  <c r="H8" i="10"/>
  <c r="H7" i="10"/>
  <c r="C6" i="10"/>
  <c r="C9" i="10" s="1"/>
  <c r="AX34" i="1"/>
  <c r="AV34" i="1"/>
  <c r="H6" i="10" l="1"/>
  <c r="H9" i="10" s="1"/>
  <c r="AT34" i="1"/>
  <c r="C3" i="2" s="1"/>
  <c r="C5" i="2" s="1"/>
  <c r="C11" i="2" s="1"/>
  <c r="C12" i="2" s="1"/>
  <c r="C3" i="4"/>
  <c r="C5" i="4" s="1"/>
  <c r="C11" i="4" s="1"/>
  <c r="C12" i="4" s="1"/>
  <c r="E3" i="8"/>
  <c r="E5" i="8" s="1"/>
  <c r="E11" i="8" s="1"/>
  <c r="E12" i="8" s="1"/>
  <c r="C3" i="3"/>
  <c r="C5" i="3" s="1"/>
  <c r="C11" i="3" s="1"/>
  <c r="C12" i="3" s="1"/>
  <c r="D3" i="8"/>
  <c r="D5" i="8" s="1"/>
  <c r="D11" i="8" s="1"/>
  <c r="D12" i="8" s="1"/>
  <c r="C3" i="8" l="1"/>
  <c r="C5" i="8" s="1"/>
  <c r="C11" i="8" s="1"/>
  <c r="C12" i="8" s="1"/>
  <c r="F12" i="8" s="1"/>
</calcChain>
</file>

<file path=xl/comments1.xml><?xml version="1.0" encoding="utf-8"?>
<comments xmlns="http://schemas.openxmlformats.org/spreadsheetml/2006/main">
  <authors>
    <author>Pavel Čech</author>
  </authors>
  <commentList>
    <comment ref="AS5" authorId="0" shapeId="0">
      <text>
        <r>
          <rPr>
            <b/>
            <sz val="9"/>
            <color indexed="81"/>
            <rFont val="Tahoma"/>
            <charset val="1"/>
          </rPr>
          <t>Pavel Čech:</t>
        </r>
        <r>
          <rPr>
            <sz val="9"/>
            <color indexed="81"/>
            <rFont val="Tahoma"/>
            <charset val="1"/>
          </rPr>
          <t xml:space="preserve">
průměrný počet úvazků za dobu trvání úkolu
</t>
        </r>
      </text>
    </comment>
    <comment ref="B6" authorId="0" shapeId="0">
      <text>
        <r>
          <rPr>
            <b/>
            <sz val="9"/>
            <color indexed="81"/>
            <rFont val="Tahoma"/>
            <charset val="1"/>
          </rPr>
          <t>Pavel Čech:</t>
        </r>
        <r>
          <rPr>
            <sz val="9"/>
            <color indexed="81"/>
            <rFont val="Tahoma"/>
            <charset val="1"/>
          </rPr>
          <t xml:space="preserve">
balíček pro řízení projektu - zpravidla v každém projektu</t>
        </r>
      </text>
    </comment>
    <comment ref="B25" authorId="0" shapeId="0">
      <text>
        <r>
          <rPr>
            <b/>
            <sz val="9"/>
            <color indexed="81"/>
            <rFont val="Tahoma"/>
            <charset val="1"/>
          </rPr>
          <t>Pavel Čech:</t>
        </r>
        <r>
          <rPr>
            <sz val="9"/>
            <color indexed="81"/>
            <rFont val="Tahoma"/>
            <charset val="1"/>
          </rPr>
          <t xml:space="preserve">
balíček zaměřený na propagaci a široké využití výsledků projektu - bývá zpravidla u každého projektu</t>
        </r>
      </text>
    </comment>
  </commentList>
</comments>
</file>

<file path=xl/comments2.xml><?xml version="1.0" encoding="utf-8"?>
<comments xmlns="http://schemas.openxmlformats.org/spreadsheetml/2006/main">
  <authors>
    <author>Pavel Čech</author>
  </authors>
  <commentList>
    <comment ref="B4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Averaged salary rate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travel costs and related subsistence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e.g. consumables and supplies, dissemination (including open access), protection of results, certificates on the financial statements, certificates on the methodology, translations and publications</t>
        </r>
      </text>
    </comment>
  </commentList>
</comments>
</file>

<file path=xl/comments3.xml><?xml version="1.0" encoding="utf-8"?>
<comments xmlns="http://schemas.openxmlformats.org/spreadsheetml/2006/main">
  <authors>
    <author>Pavel Čech</author>
  </authors>
  <commentList>
    <comment ref="B4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Averaged salary rate - standard practice in your institution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travel costs and related subsistence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the call does not allow any investment to equipment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e.g. consumables and supplies, dissemination (including open access), protection of results, certificates on the financial statements, certificates on the methodology, translations and publications</t>
        </r>
      </text>
    </comment>
  </commentList>
</comments>
</file>

<file path=xl/comments4.xml><?xml version="1.0" encoding="utf-8"?>
<comments xmlns="http://schemas.openxmlformats.org/spreadsheetml/2006/main">
  <authors>
    <author>Pavel Čech</author>
  </authors>
  <commentList>
    <comment ref="B4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Averaged salary rate - standard practice in your institution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travel costs and related subsistence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the call does not allow any investment to equipment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e.g. consumables and supplies, dissemination (including open access), protection of results, certificates on the financial statements, certificates on the methodology, translations and publications</t>
        </r>
      </text>
    </comment>
  </commentList>
</comments>
</file>

<file path=xl/comments5.xml><?xml version="1.0" encoding="utf-8"?>
<comments xmlns="http://schemas.openxmlformats.org/spreadsheetml/2006/main">
  <authors>
    <author>Pavel Čech</author>
  </authors>
  <commentList>
    <comment ref="B4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Averaged salary rate - standard practice in your institution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travel costs and related subsistence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the call does not allow any investment to equipment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38"/>
          </rPr>
          <t>Pavel Čech:</t>
        </r>
        <r>
          <rPr>
            <sz val="9"/>
            <color indexed="81"/>
            <rFont val="Tahoma"/>
            <family val="2"/>
            <charset val="238"/>
          </rPr>
          <t xml:space="preserve">
e.g. consumables and supplies, dissemination (including open access), protection of results, certificates on the financial statements, certificates on the methodology, translations and publications</t>
        </r>
      </text>
    </comment>
  </commentList>
</comments>
</file>

<file path=xl/sharedStrings.xml><?xml version="1.0" encoding="utf-8"?>
<sst xmlns="http://schemas.openxmlformats.org/spreadsheetml/2006/main" count="92" uniqueCount="44">
  <si>
    <t>Task Name</t>
  </si>
  <si>
    <t>Duration</t>
  </si>
  <si>
    <t>WP1 Project Management</t>
  </si>
  <si>
    <t>ID</t>
  </si>
  <si>
    <t>WP1</t>
  </si>
  <si>
    <t>WP2</t>
  </si>
  <si>
    <t>WP3</t>
  </si>
  <si>
    <t>WP4</t>
  </si>
  <si>
    <t>WP5</t>
  </si>
  <si>
    <t>Predecessor</t>
  </si>
  <si>
    <t>Start</t>
  </si>
  <si>
    <t>61;64</t>
  </si>
  <si>
    <t>End</t>
  </si>
  <si>
    <t>UHK</t>
  </si>
  <si>
    <t>Leader</t>
  </si>
  <si>
    <t xml:space="preserve">   T1.2 Project Reporting</t>
  </si>
  <si>
    <t xml:space="preserve">   T1.1 Project Coordination and Monitoring</t>
  </si>
  <si>
    <t xml:space="preserve">   T1.3 Quality Assurance &amp; Risk Management</t>
  </si>
  <si>
    <t>jp</t>
  </si>
  <si>
    <t>TUE</t>
  </si>
  <si>
    <t>Total person-month</t>
  </si>
  <si>
    <t>Salary per month</t>
  </si>
  <si>
    <t>Total personal cost</t>
  </si>
  <si>
    <t>Travel</t>
  </si>
  <si>
    <t>Equipment</t>
  </si>
  <si>
    <t>Other goods and services</t>
  </si>
  <si>
    <t>Other direct costs</t>
  </si>
  <si>
    <t>Direct cost of subcontracting</t>
  </si>
  <si>
    <t>Indirect cost</t>
  </si>
  <si>
    <t>Total amount</t>
  </si>
  <si>
    <t>Justification</t>
  </si>
  <si>
    <t>e.g. 10 cooperation meetings (2 persons * 10 meetings * 950 EUR = 19 000 EUR), congresses (2 persons * 2 congresses * 1 500 EUR = 6 000 EUR)</t>
  </si>
  <si>
    <t>MU</t>
  </si>
  <si>
    <t>Total</t>
  </si>
  <si>
    <t>pm</t>
  </si>
  <si>
    <t>Partner 1</t>
  </si>
  <si>
    <t>Partner 2</t>
  </si>
  <si>
    <t>Partner 3</t>
  </si>
  <si>
    <t>WP2 xxx</t>
  </si>
  <si>
    <t>WP3 yyy</t>
  </si>
  <si>
    <t>WP4 zzz</t>
  </si>
  <si>
    <t>WP5 Dissemination &amp; Exploation</t>
  </si>
  <si>
    <t>Indexy</t>
  </si>
  <si>
    <t>Person-month per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</si>
</sst>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\ * #,##0_-;\-[$€-2]\ * #,##0_-;_-[$€-2]\ * &quot;-&quot;??_-;_-@_-"/>
  </numFmts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8"/>
      <color rgb="FF92D05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indexed="8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4" xfId="0" applyFont="1" applyFill="1" applyBorder="1"/>
    <xf numFmtId="0" fontId="6" fillId="0" borderId="6" xfId="0" applyFont="1" applyBorder="1"/>
    <xf numFmtId="0" fontId="6" fillId="0" borderId="1" xfId="0" applyFont="1" applyBorder="1"/>
    <xf numFmtId="0" fontId="6" fillId="0" borderId="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7" fillId="3" borderId="0" xfId="0" applyFont="1" applyFill="1" applyBorder="1"/>
    <xf numFmtId="0" fontId="8" fillId="4" borderId="14" xfId="0" applyFont="1" applyFill="1" applyBorder="1" applyAlignment="1">
      <alignment horizontal="center"/>
    </xf>
    <xf numFmtId="0" fontId="2" fillId="4" borderId="14" xfId="0" applyFont="1" applyFill="1" applyBorder="1"/>
    <xf numFmtId="0" fontId="3" fillId="4" borderId="14" xfId="0" applyFont="1" applyFill="1" applyBorder="1"/>
    <xf numFmtId="0" fontId="2" fillId="0" borderId="14" xfId="0" applyFont="1" applyBorder="1" applyAlignment="1"/>
    <xf numFmtId="0" fontId="2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" fillId="4" borderId="15" xfId="0" applyNumberFormat="1" applyFont="1" applyFill="1" applyBorder="1"/>
    <xf numFmtId="0" fontId="2" fillId="0" borderId="14" xfId="0" applyNumberFormat="1" applyFont="1" applyBorder="1"/>
    <xf numFmtId="0" fontId="2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0" fillId="0" borderId="6" xfId="0" applyNumberFormat="1" applyBorder="1"/>
    <xf numFmtId="0" fontId="0" fillId="0" borderId="14" xfId="0" applyBorder="1"/>
    <xf numFmtId="0" fontId="0" fillId="5" borderId="6" xfId="0" applyFill="1" applyBorder="1" applyProtection="1"/>
    <xf numFmtId="164" fontId="0" fillId="5" borderId="6" xfId="0" applyNumberFormat="1" applyFill="1" applyBorder="1"/>
    <xf numFmtId="164" fontId="0" fillId="5" borderId="3" xfId="0" applyNumberFormat="1" applyFill="1" applyBorder="1"/>
    <xf numFmtId="164" fontId="1" fillId="5" borderId="16" xfId="0" applyNumberFormat="1" applyFont="1" applyFill="1" applyBorder="1"/>
    <xf numFmtId="0" fontId="0" fillId="5" borderId="14" xfId="0" applyFill="1" applyBorder="1"/>
    <xf numFmtId="164" fontId="0" fillId="5" borderId="15" xfId="0" applyNumberFormat="1" applyFill="1" applyBorder="1"/>
    <xf numFmtId="0" fontId="1" fillId="5" borderId="14" xfId="0" applyFont="1" applyFill="1" applyBorder="1" applyAlignment="1">
      <alignment horizontal="center"/>
    </xf>
    <xf numFmtId="0" fontId="12" fillId="0" borderId="14" xfId="0" applyFont="1" applyBorder="1"/>
    <xf numFmtId="0" fontId="3" fillId="0" borderId="3" xfId="0" applyFont="1" applyBorder="1"/>
    <xf numFmtId="0" fontId="2" fillId="0" borderId="7" xfId="0" applyFont="1" applyBorder="1"/>
    <xf numFmtId="0" fontId="7" fillId="3" borderId="8" xfId="0" applyFont="1" applyFill="1" applyBorder="1"/>
    <xf numFmtId="0" fontId="0" fillId="0" borderId="0" xfId="0" applyBorder="1"/>
    <xf numFmtId="0" fontId="0" fillId="0" borderId="8" xfId="0" applyBorder="1"/>
    <xf numFmtId="0" fontId="3" fillId="0" borderId="7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0" fillId="0" borderId="9" xfId="0" applyBorder="1"/>
    <xf numFmtId="0" fontId="2" fillId="0" borderId="12" xfId="0" applyNumberFormat="1" applyFont="1" applyFill="1" applyBorder="1"/>
    <xf numFmtId="0" fontId="3" fillId="0" borderId="0" xfId="0" applyFont="1" applyFill="1" applyBorder="1"/>
    <xf numFmtId="0" fontId="1" fillId="0" borderId="0" xfId="0" applyFont="1"/>
    <xf numFmtId="0" fontId="1" fillId="6" borderId="14" xfId="0" applyFont="1" applyFill="1" applyBorder="1" applyAlignment="1">
      <alignment horizontal="center"/>
    </xf>
    <xf numFmtId="164" fontId="0" fillId="0" borderId="14" xfId="0" applyNumberFormat="1" applyBorder="1"/>
    <xf numFmtId="164" fontId="0" fillId="5" borderId="14" xfId="0" applyNumberFormat="1" applyFill="1" applyBorder="1"/>
    <xf numFmtId="164" fontId="0" fillId="5" borderId="11" xfId="0" applyNumberFormat="1" applyFill="1" applyBorder="1"/>
    <xf numFmtId="164" fontId="1" fillId="5" borderId="17" xfId="0" applyNumberFormat="1" applyFont="1" applyFill="1" applyBorder="1"/>
    <xf numFmtId="0" fontId="1" fillId="5" borderId="14" xfId="0" applyFont="1" applyFill="1" applyBorder="1" applyAlignment="1">
      <alignment horizontal="right"/>
    </xf>
    <xf numFmtId="0" fontId="1" fillId="5" borderId="18" xfId="0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right"/>
    </xf>
    <xf numFmtId="1" fontId="1" fillId="4" borderId="21" xfId="0" applyNumberFormat="1" applyFont="1" applyFill="1" applyBorder="1" applyAlignment="1">
      <alignment horizontal="center"/>
    </xf>
    <xf numFmtId="1" fontId="1" fillId="4" borderId="17" xfId="0" applyNumberFormat="1" applyFont="1" applyFill="1" applyBorder="1" applyAlignment="1">
      <alignment horizontal="center"/>
    </xf>
    <xf numFmtId="164" fontId="1" fillId="7" borderId="22" xfId="0" applyNumberFormat="1" applyFont="1" applyFill="1" applyBorder="1"/>
    <xf numFmtId="164" fontId="1" fillId="5" borderId="20" xfId="0" applyNumberFormat="1" applyFont="1" applyFill="1" applyBorder="1"/>
    <xf numFmtId="0" fontId="2" fillId="4" borderId="14" xfId="0" applyFont="1" applyFill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2" fillId="0" borderId="5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  <xf numFmtId="0" fontId="2" fillId="0" borderId="8" xfId="0" applyFont="1" applyBorder="1" applyAlignment="1">
      <alignment horizontal="center" textRotation="90"/>
    </xf>
    <xf numFmtId="0" fontId="0" fillId="0" borderId="14" xfId="0" applyBorder="1" applyAlignment="1">
      <alignment horizontal="center" textRotation="9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 textRotation="90"/>
    </xf>
    <xf numFmtId="0" fontId="4" fillId="0" borderId="9" xfId="0" applyFont="1" applyBorder="1" applyAlignment="1">
      <alignment horizontal="center" textRotation="90"/>
    </xf>
    <xf numFmtId="0" fontId="4" fillId="0" borderId="8" xfId="0" applyFont="1" applyBorder="1" applyAlignment="1">
      <alignment horizontal="center" textRotation="90"/>
    </xf>
    <xf numFmtId="0" fontId="4" fillId="0" borderId="10" xfId="0" applyFont="1" applyBorder="1" applyAlignment="1">
      <alignment horizontal="center" textRotation="90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0" xfId="0" applyBorder="1"/>
    <xf numFmtId="0" fontId="4" fillId="0" borderId="14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X37"/>
  <sheetViews>
    <sheetView tabSelected="1" zoomScale="115" zoomScaleNormal="115" workbookViewId="0">
      <pane xSplit="6" ySplit="5" topLeftCell="S15" activePane="bottomRight" state="frozen"/>
      <selection pane="topRight" activeCell="E1" sqref="E1"/>
      <selection pane="bottomLeft" activeCell="A4" sqref="A4"/>
      <selection pane="bottomRight" activeCell="Y36" sqref="Y36"/>
    </sheetView>
  </sheetViews>
  <sheetFormatPr defaultRowHeight="15" x14ac:dyDescent="0.25"/>
  <cols>
    <col min="1" max="1" width="3" bestFit="1" customWidth="1"/>
    <col min="2" max="2" width="51.28515625" bestFit="1" customWidth="1"/>
    <col min="3" max="4" width="3" hidden="1" customWidth="1"/>
    <col min="5" max="5" width="3.140625" hidden="1" customWidth="1"/>
    <col min="6" max="6" width="5.42578125" style="1" hidden="1" customWidth="1"/>
    <col min="7" max="42" width="2.5703125" customWidth="1"/>
    <col min="43" max="43" width="8.28515625" style="1" customWidth="1"/>
    <col min="44" max="44" width="4.42578125" style="1" customWidth="1"/>
    <col min="45" max="45" width="5" bestFit="1" customWidth="1"/>
    <col min="46" max="46" width="3.85546875" customWidth="1"/>
    <col min="47" max="47" width="4.7109375" customWidth="1"/>
    <col min="48" max="48" width="3.85546875" customWidth="1"/>
    <col min="49" max="49" width="4.7109375" customWidth="1"/>
    <col min="50" max="50" width="3.85546875" customWidth="1"/>
  </cols>
  <sheetData>
    <row r="1" spans="1:50" ht="15" customHeight="1" x14ac:dyDescent="0.25"/>
    <row r="2" spans="1:50" ht="27" customHeight="1" x14ac:dyDescent="0.25">
      <c r="AQ2" s="72" t="s">
        <v>14</v>
      </c>
      <c r="AR2" s="67" t="s">
        <v>1</v>
      </c>
      <c r="AS2" s="68" t="s">
        <v>35</v>
      </c>
      <c r="AT2" s="69"/>
      <c r="AU2" s="68" t="s">
        <v>36</v>
      </c>
      <c r="AV2" s="69"/>
      <c r="AW2" s="68" t="s">
        <v>37</v>
      </c>
      <c r="AX2" s="69"/>
    </row>
    <row r="3" spans="1:50" s="2" customFormat="1" ht="11.1" customHeight="1" x14ac:dyDescent="0.2">
      <c r="C3" s="82" t="s">
        <v>1</v>
      </c>
      <c r="D3" s="82" t="s">
        <v>10</v>
      </c>
      <c r="E3" s="82" t="s">
        <v>12</v>
      </c>
      <c r="F3" s="84" t="s">
        <v>9</v>
      </c>
      <c r="G3" s="86">
        <v>15</v>
      </c>
      <c r="H3" s="87"/>
      <c r="I3" s="73">
        <v>16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88"/>
      <c r="U3" s="73">
        <v>17</v>
      </c>
      <c r="V3" s="74"/>
      <c r="W3" s="74"/>
      <c r="X3" s="74"/>
      <c r="Y3" s="74"/>
      <c r="Z3" s="74"/>
      <c r="AA3" s="74"/>
      <c r="AB3" s="74"/>
      <c r="AC3" s="74"/>
      <c r="AD3" s="74"/>
      <c r="AE3" s="74"/>
      <c r="AF3" s="88"/>
      <c r="AG3" s="73">
        <v>18</v>
      </c>
      <c r="AH3" s="74"/>
      <c r="AI3" s="74"/>
      <c r="AJ3" s="74"/>
      <c r="AK3" s="74"/>
      <c r="AL3" s="74"/>
      <c r="AM3" s="74"/>
      <c r="AN3" s="74"/>
      <c r="AO3" s="74"/>
      <c r="AP3" s="74"/>
      <c r="AQ3" s="72"/>
      <c r="AR3" s="67"/>
      <c r="AS3" s="70"/>
      <c r="AT3" s="71"/>
      <c r="AU3" s="70"/>
      <c r="AV3" s="71"/>
      <c r="AW3" s="70"/>
      <c r="AX3" s="71"/>
    </row>
    <row r="4" spans="1:50" s="2" customFormat="1" ht="11.1" customHeight="1" x14ac:dyDescent="0.2">
      <c r="A4" s="75" t="s">
        <v>3</v>
      </c>
      <c r="B4" s="80" t="s">
        <v>0</v>
      </c>
      <c r="C4" s="82"/>
      <c r="D4" s="82"/>
      <c r="E4" s="82"/>
      <c r="F4" s="84"/>
      <c r="G4" s="7">
        <v>11</v>
      </c>
      <c r="H4" s="8">
        <v>12</v>
      </c>
      <c r="I4" s="7">
        <v>1</v>
      </c>
      <c r="J4" s="8">
        <v>2</v>
      </c>
      <c r="K4" s="8">
        <v>3</v>
      </c>
      <c r="L4" s="8">
        <v>4</v>
      </c>
      <c r="M4" s="8">
        <v>5</v>
      </c>
      <c r="N4" s="8">
        <v>6</v>
      </c>
      <c r="O4" s="8">
        <v>7</v>
      </c>
      <c r="P4" s="8">
        <v>8</v>
      </c>
      <c r="Q4" s="8">
        <v>9</v>
      </c>
      <c r="R4" s="8">
        <v>10</v>
      </c>
      <c r="S4" s="8">
        <v>11</v>
      </c>
      <c r="T4" s="9">
        <v>12</v>
      </c>
      <c r="U4" s="7">
        <v>1</v>
      </c>
      <c r="V4" s="8">
        <v>2</v>
      </c>
      <c r="W4" s="8">
        <v>3</v>
      </c>
      <c r="X4" s="8">
        <v>4</v>
      </c>
      <c r="Y4" s="8">
        <v>5</v>
      </c>
      <c r="Z4" s="8">
        <v>6</v>
      </c>
      <c r="AA4" s="8">
        <v>7</v>
      </c>
      <c r="AB4" s="8">
        <v>8</v>
      </c>
      <c r="AC4" s="8">
        <v>9</v>
      </c>
      <c r="AD4" s="8">
        <v>10</v>
      </c>
      <c r="AE4" s="8">
        <v>11</v>
      </c>
      <c r="AF4" s="9">
        <v>12</v>
      </c>
      <c r="AG4" s="7">
        <v>1</v>
      </c>
      <c r="AH4" s="8">
        <v>2</v>
      </c>
      <c r="AI4" s="8">
        <v>3</v>
      </c>
      <c r="AJ4" s="8">
        <v>4</v>
      </c>
      <c r="AK4" s="8">
        <v>5</v>
      </c>
      <c r="AL4" s="8">
        <v>6</v>
      </c>
      <c r="AM4" s="8">
        <v>7</v>
      </c>
      <c r="AN4" s="8">
        <v>8</v>
      </c>
      <c r="AO4" s="8">
        <v>9</v>
      </c>
      <c r="AP4" s="10">
        <v>10</v>
      </c>
      <c r="AQ4" s="72"/>
      <c r="AR4" s="67"/>
      <c r="AS4" s="70"/>
      <c r="AT4" s="71"/>
      <c r="AU4" s="70"/>
      <c r="AV4" s="71"/>
      <c r="AW4" s="70"/>
      <c r="AX4" s="71"/>
    </row>
    <row r="5" spans="1:50" s="2" customFormat="1" ht="11.1" customHeight="1" x14ac:dyDescent="0.2">
      <c r="A5" s="76"/>
      <c r="B5" s="81"/>
      <c r="C5" s="83"/>
      <c r="D5" s="83"/>
      <c r="E5" s="83"/>
      <c r="F5" s="85"/>
      <c r="G5" s="11">
        <v>1</v>
      </c>
      <c r="H5" s="12">
        <v>2</v>
      </c>
      <c r="I5" s="12">
        <v>3</v>
      </c>
      <c r="J5" s="12">
        <v>4</v>
      </c>
      <c r="K5" s="12">
        <v>5</v>
      </c>
      <c r="L5" s="12">
        <v>6</v>
      </c>
      <c r="M5" s="12">
        <v>7</v>
      </c>
      <c r="N5" s="12">
        <v>8</v>
      </c>
      <c r="O5" s="12">
        <v>9</v>
      </c>
      <c r="P5" s="12">
        <v>10</v>
      </c>
      <c r="Q5" s="12">
        <v>11</v>
      </c>
      <c r="R5" s="12">
        <v>12</v>
      </c>
      <c r="S5" s="12">
        <v>13</v>
      </c>
      <c r="T5" s="12">
        <v>14</v>
      </c>
      <c r="U5" s="12">
        <v>15</v>
      </c>
      <c r="V5" s="12">
        <v>16</v>
      </c>
      <c r="W5" s="12">
        <v>17</v>
      </c>
      <c r="X5" s="12">
        <v>18</v>
      </c>
      <c r="Y5" s="12">
        <v>19</v>
      </c>
      <c r="Z5" s="12">
        <v>20</v>
      </c>
      <c r="AA5" s="12">
        <v>21</v>
      </c>
      <c r="AB5" s="12">
        <v>22</v>
      </c>
      <c r="AC5" s="12">
        <v>23</v>
      </c>
      <c r="AD5" s="12">
        <v>24</v>
      </c>
      <c r="AE5" s="12">
        <v>25</v>
      </c>
      <c r="AF5" s="12">
        <v>26</v>
      </c>
      <c r="AG5" s="12">
        <v>27</v>
      </c>
      <c r="AH5" s="12">
        <v>28</v>
      </c>
      <c r="AI5" s="12">
        <v>29</v>
      </c>
      <c r="AJ5" s="12">
        <v>30</v>
      </c>
      <c r="AK5" s="12">
        <v>31</v>
      </c>
      <c r="AL5" s="12">
        <v>32</v>
      </c>
      <c r="AM5" s="12">
        <v>33</v>
      </c>
      <c r="AN5" s="12">
        <v>34</v>
      </c>
      <c r="AO5" s="12">
        <v>35</v>
      </c>
      <c r="AP5" s="13">
        <v>36</v>
      </c>
      <c r="AQ5" s="72"/>
      <c r="AR5" s="67"/>
      <c r="AS5" s="20" t="s">
        <v>18</v>
      </c>
      <c r="AT5" s="20" t="s">
        <v>34</v>
      </c>
      <c r="AU5" s="20" t="s">
        <v>18</v>
      </c>
      <c r="AV5" s="20" t="s">
        <v>34</v>
      </c>
      <c r="AW5" s="20" t="s">
        <v>18</v>
      </c>
      <c r="AX5" s="20" t="s">
        <v>34</v>
      </c>
    </row>
    <row r="6" spans="1:50" s="2" customFormat="1" ht="11.1" customHeight="1" x14ac:dyDescent="0.2">
      <c r="A6" s="5">
        <v>1</v>
      </c>
      <c r="B6" s="41" t="s">
        <v>2</v>
      </c>
      <c r="C6" s="14">
        <v>42</v>
      </c>
      <c r="D6" s="14">
        <v>1</v>
      </c>
      <c r="E6" s="14">
        <v>42</v>
      </c>
      <c r="F6" s="27"/>
      <c r="G6" s="77" t="s">
        <v>4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21" t="s">
        <v>35</v>
      </c>
      <c r="AR6" s="17">
        <v>36</v>
      </c>
      <c r="AS6" s="23"/>
      <c r="AT6" s="19">
        <f>CEILING(SUM(AT7:AT9),1)</f>
        <v>15</v>
      </c>
      <c r="AU6" s="23"/>
      <c r="AV6" s="19">
        <f t="shared" ref="AV6:AX6" si="0">CEILING(SUM(AV7:AV9),1)</f>
        <v>1</v>
      </c>
      <c r="AW6" s="23"/>
      <c r="AX6" s="19">
        <f t="shared" si="0"/>
        <v>4</v>
      </c>
    </row>
    <row r="7" spans="1:50" s="2" customFormat="1" ht="11.1" customHeight="1" x14ac:dyDescent="0.2">
      <c r="A7" s="6">
        <v>2</v>
      </c>
      <c r="B7" s="42" t="s">
        <v>16</v>
      </c>
      <c r="C7" s="15">
        <v>2</v>
      </c>
      <c r="D7" s="15">
        <v>1</v>
      </c>
      <c r="E7" s="15">
        <v>2</v>
      </c>
      <c r="F7" s="3"/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43">
        <v>1</v>
      </c>
      <c r="AQ7" s="21" t="s">
        <v>35</v>
      </c>
      <c r="AR7" s="25">
        <f>SUM(G7:AP7)</f>
        <v>36</v>
      </c>
      <c r="AS7" s="24">
        <v>0.2</v>
      </c>
      <c r="AT7" s="18">
        <f>$AR7*AS7</f>
        <v>7.2</v>
      </c>
      <c r="AU7" s="24">
        <v>0</v>
      </c>
      <c r="AV7" s="18">
        <f>$AR7*AU7</f>
        <v>0</v>
      </c>
      <c r="AW7" s="24">
        <v>0.05</v>
      </c>
      <c r="AX7" s="18">
        <f>$AR7*AW7</f>
        <v>1.8</v>
      </c>
    </row>
    <row r="8" spans="1:50" s="2" customFormat="1" ht="11.1" customHeight="1" x14ac:dyDescent="0.2">
      <c r="A8" s="6">
        <v>3</v>
      </c>
      <c r="B8" s="42" t="s">
        <v>15</v>
      </c>
      <c r="C8" s="15">
        <v>42</v>
      </c>
      <c r="D8" s="15">
        <v>1</v>
      </c>
      <c r="E8" s="15">
        <v>42</v>
      </c>
      <c r="F8" s="3"/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43">
        <v>1</v>
      </c>
      <c r="AQ8" s="21" t="s">
        <v>36</v>
      </c>
      <c r="AR8" s="25">
        <f t="shared" ref="AR8:AR33" si="1">SUM(G8:AP8)</f>
        <v>36</v>
      </c>
      <c r="AS8" s="24">
        <v>0.2</v>
      </c>
      <c r="AT8" s="18">
        <f t="shared" ref="AT8:AX32" si="2">$AR8*AS8</f>
        <v>7.2</v>
      </c>
      <c r="AU8" s="24">
        <v>0</v>
      </c>
      <c r="AV8" s="18">
        <f t="shared" si="2"/>
        <v>0</v>
      </c>
      <c r="AW8" s="24">
        <v>0.05</v>
      </c>
      <c r="AX8" s="18">
        <f t="shared" si="2"/>
        <v>1.8</v>
      </c>
    </row>
    <row r="9" spans="1:50" s="2" customFormat="1" ht="11.1" customHeight="1" x14ac:dyDescent="0.25">
      <c r="A9" s="6">
        <v>4</v>
      </c>
      <c r="B9" s="42" t="s">
        <v>17</v>
      </c>
      <c r="C9" s="15">
        <v>42</v>
      </c>
      <c r="D9" s="15">
        <v>1</v>
      </c>
      <c r="E9" s="15">
        <v>42</v>
      </c>
      <c r="F9" s="3"/>
      <c r="G9" s="16">
        <v>1</v>
      </c>
      <c r="H9" s="16">
        <v>1</v>
      </c>
      <c r="I9" s="44"/>
      <c r="J9" s="44"/>
      <c r="K9" s="44"/>
      <c r="L9" s="16">
        <v>1</v>
      </c>
      <c r="M9" s="44"/>
      <c r="N9" s="44"/>
      <c r="O9" s="44"/>
      <c r="P9" s="16">
        <v>1</v>
      </c>
      <c r="Q9" s="44"/>
      <c r="R9" s="44"/>
      <c r="S9" s="44"/>
      <c r="T9" s="16">
        <v>1</v>
      </c>
      <c r="U9" s="44"/>
      <c r="V9" s="44"/>
      <c r="W9" s="44"/>
      <c r="X9" s="16">
        <v>1</v>
      </c>
      <c r="Y9" s="44"/>
      <c r="Z9" s="44"/>
      <c r="AA9" s="44"/>
      <c r="AB9" s="16">
        <v>1</v>
      </c>
      <c r="AC9" s="44"/>
      <c r="AD9" s="44"/>
      <c r="AE9" s="44"/>
      <c r="AF9" s="16">
        <v>1</v>
      </c>
      <c r="AG9" s="44"/>
      <c r="AH9" s="44"/>
      <c r="AI9" s="44"/>
      <c r="AJ9" s="16">
        <v>1</v>
      </c>
      <c r="AK9" s="44"/>
      <c r="AL9" s="44"/>
      <c r="AM9" s="44"/>
      <c r="AN9" s="16">
        <v>1</v>
      </c>
      <c r="AO9" s="44"/>
      <c r="AP9" s="45"/>
      <c r="AQ9" s="21" t="s">
        <v>37</v>
      </c>
      <c r="AR9" s="25">
        <f t="shared" si="1"/>
        <v>10</v>
      </c>
      <c r="AS9" s="24">
        <v>0.05</v>
      </c>
      <c r="AT9" s="18">
        <f t="shared" si="2"/>
        <v>0.5</v>
      </c>
      <c r="AU9" s="24">
        <v>0.1</v>
      </c>
      <c r="AV9" s="18">
        <f>$AR9*AU9</f>
        <v>1</v>
      </c>
      <c r="AW9" s="24">
        <v>0</v>
      </c>
      <c r="AX9" s="18">
        <f t="shared" si="2"/>
        <v>0</v>
      </c>
    </row>
    <row r="10" spans="1:50" s="2" customFormat="1" ht="11.1" customHeight="1" x14ac:dyDescent="0.25">
      <c r="A10" s="6">
        <v>5</v>
      </c>
      <c r="B10" s="46" t="s">
        <v>38</v>
      </c>
      <c r="C10" s="15">
        <v>5</v>
      </c>
      <c r="D10" s="15">
        <v>1</v>
      </c>
      <c r="E10" s="15">
        <v>5</v>
      </c>
      <c r="F10" s="3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21"/>
      <c r="AR10" s="26">
        <v>31</v>
      </c>
      <c r="AS10" s="23"/>
      <c r="AT10" s="19">
        <f>CEILING(SUM(AT11:AT14),1)</f>
        <v>0</v>
      </c>
      <c r="AU10" s="23"/>
      <c r="AV10" s="19">
        <f t="shared" ref="AV10:AX10" si="3">CEILING(SUM(AV11:AV14),1)</f>
        <v>0</v>
      </c>
      <c r="AW10" s="23"/>
      <c r="AX10" s="19">
        <f t="shared" si="3"/>
        <v>0</v>
      </c>
    </row>
    <row r="11" spans="1:50" s="2" customFormat="1" ht="11.1" customHeight="1" x14ac:dyDescent="0.25">
      <c r="A11" s="6">
        <v>6</v>
      </c>
      <c r="B11" s="42"/>
      <c r="C11" s="15"/>
      <c r="D11" s="15"/>
      <c r="E11" s="15"/>
      <c r="F11" s="3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21"/>
      <c r="AR11" s="25">
        <f t="shared" si="1"/>
        <v>0</v>
      </c>
      <c r="AS11" s="24"/>
      <c r="AT11" s="18">
        <f t="shared" si="2"/>
        <v>0</v>
      </c>
      <c r="AU11" s="24"/>
      <c r="AV11" s="18">
        <f t="shared" si="2"/>
        <v>0</v>
      </c>
      <c r="AW11" s="24"/>
      <c r="AX11" s="18">
        <f t="shared" si="2"/>
        <v>0</v>
      </c>
    </row>
    <row r="12" spans="1:50" s="2" customFormat="1" ht="11.1" customHeight="1" x14ac:dyDescent="0.25">
      <c r="A12" s="6">
        <v>7</v>
      </c>
      <c r="B12" s="42"/>
      <c r="C12" s="15"/>
      <c r="D12" s="15"/>
      <c r="E12" s="15"/>
      <c r="F12" s="3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21"/>
      <c r="AR12" s="25">
        <f t="shared" si="1"/>
        <v>0</v>
      </c>
      <c r="AS12" s="24"/>
      <c r="AT12" s="18">
        <f t="shared" si="2"/>
        <v>0</v>
      </c>
      <c r="AU12" s="24"/>
      <c r="AV12" s="18">
        <f t="shared" si="2"/>
        <v>0</v>
      </c>
      <c r="AW12" s="24"/>
      <c r="AX12" s="18">
        <f t="shared" si="2"/>
        <v>0</v>
      </c>
    </row>
    <row r="13" spans="1:50" s="2" customFormat="1" ht="11.1" customHeight="1" x14ac:dyDescent="0.25">
      <c r="A13" s="6">
        <v>8</v>
      </c>
      <c r="B13" s="42"/>
      <c r="C13" s="15">
        <v>2</v>
      </c>
      <c r="D13" s="15">
        <v>1</v>
      </c>
      <c r="E13" s="15">
        <v>2</v>
      </c>
      <c r="F13" s="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21"/>
      <c r="AR13" s="25">
        <f t="shared" si="1"/>
        <v>0</v>
      </c>
      <c r="AS13" s="24"/>
      <c r="AT13" s="18">
        <f t="shared" si="2"/>
        <v>0</v>
      </c>
      <c r="AU13" s="24"/>
      <c r="AV13" s="18">
        <f t="shared" si="2"/>
        <v>0</v>
      </c>
      <c r="AW13" s="24"/>
      <c r="AX13" s="18">
        <f t="shared" si="2"/>
        <v>0</v>
      </c>
    </row>
    <row r="14" spans="1:50" s="2" customFormat="1" ht="11.1" customHeight="1" x14ac:dyDescent="0.25">
      <c r="A14" s="6">
        <v>9</v>
      </c>
      <c r="B14" s="42"/>
      <c r="C14" s="15">
        <v>1</v>
      </c>
      <c r="D14" s="15">
        <v>3</v>
      </c>
      <c r="E14" s="15">
        <v>3</v>
      </c>
      <c r="F14" s="3">
        <v>10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21"/>
      <c r="AR14" s="25">
        <f t="shared" si="1"/>
        <v>0</v>
      </c>
      <c r="AS14" s="24"/>
      <c r="AT14" s="18">
        <f t="shared" si="2"/>
        <v>0</v>
      </c>
      <c r="AU14" s="24"/>
      <c r="AV14" s="18">
        <f t="shared" si="2"/>
        <v>0</v>
      </c>
      <c r="AW14" s="24"/>
      <c r="AX14" s="18">
        <f t="shared" si="2"/>
        <v>0</v>
      </c>
    </row>
    <row r="15" spans="1:50" s="2" customFormat="1" ht="11.1" customHeight="1" x14ac:dyDescent="0.25">
      <c r="A15" s="6">
        <v>10</v>
      </c>
      <c r="B15" s="46" t="s">
        <v>39</v>
      </c>
      <c r="C15" s="15">
        <v>7</v>
      </c>
      <c r="D15" s="15">
        <v>5</v>
      </c>
      <c r="E15" s="15">
        <v>11</v>
      </c>
      <c r="F15" s="3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22"/>
      <c r="AR15" s="26">
        <v>35</v>
      </c>
      <c r="AS15" s="23"/>
      <c r="AT15" s="19">
        <f>CEILING(SUM(AT16:AT18),1)</f>
        <v>0</v>
      </c>
      <c r="AU15" s="23"/>
      <c r="AV15" s="19">
        <f t="shared" ref="AV15:AX15" si="4">CEILING(SUM(AV16:AV18),1)</f>
        <v>0</v>
      </c>
      <c r="AW15" s="23"/>
      <c r="AX15" s="19">
        <f t="shared" si="4"/>
        <v>0</v>
      </c>
    </row>
    <row r="16" spans="1:50" s="2" customFormat="1" ht="11.1" customHeight="1" x14ac:dyDescent="0.25">
      <c r="A16" s="6">
        <v>11</v>
      </c>
      <c r="B16" s="42"/>
      <c r="C16" s="15"/>
      <c r="D16" s="15"/>
      <c r="E16" s="15"/>
      <c r="F16" s="3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22"/>
      <c r="AR16" s="25">
        <f t="shared" si="1"/>
        <v>0</v>
      </c>
      <c r="AS16" s="50"/>
      <c r="AT16" s="18">
        <f t="shared" si="2"/>
        <v>0</v>
      </c>
      <c r="AU16" s="50"/>
      <c r="AV16" s="18">
        <f t="shared" si="2"/>
        <v>0</v>
      </c>
      <c r="AW16" s="50"/>
      <c r="AX16" s="18">
        <f t="shared" si="2"/>
        <v>0</v>
      </c>
    </row>
    <row r="17" spans="1:50" s="2" customFormat="1" ht="11.1" customHeight="1" x14ac:dyDescent="0.25">
      <c r="A17" s="6">
        <v>12</v>
      </c>
      <c r="B17" s="42"/>
      <c r="C17" s="15">
        <v>2</v>
      </c>
      <c r="D17" s="15">
        <v>1</v>
      </c>
      <c r="E17" s="15">
        <v>2</v>
      </c>
      <c r="F17" s="3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22"/>
      <c r="AR17" s="25">
        <f t="shared" si="1"/>
        <v>0</v>
      </c>
      <c r="AS17" s="24"/>
      <c r="AT17" s="18">
        <f t="shared" si="2"/>
        <v>0</v>
      </c>
      <c r="AU17" s="24"/>
      <c r="AV17" s="18">
        <f t="shared" si="2"/>
        <v>0</v>
      </c>
      <c r="AW17" s="24"/>
      <c r="AX17" s="18">
        <f t="shared" si="2"/>
        <v>0</v>
      </c>
    </row>
    <row r="18" spans="1:50" s="2" customFormat="1" ht="11.1" customHeight="1" x14ac:dyDescent="0.25">
      <c r="A18" s="6">
        <v>13</v>
      </c>
      <c r="B18" s="42"/>
      <c r="C18" s="15"/>
      <c r="D18" s="15"/>
      <c r="E18" s="15"/>
      <c r="F18" s="3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22"/>
      <c r="AR18" s="25">
        <f t="shared" si="1"/>
        <v>0</v>
      </c>
      <c r="AS18" s="24"/>
      <c r="AT18" s="18">
        <f t="shared" si="2"/>
        <v>0</v>
      </c>
      <c r="AU18" s="24"/>
      <c r="AV18" s="18">
        <f t="shared" si="2"/>
        <v>0</v>
      </c>
      <c r="AW18" s="24"/>
      <c r="AX18" s="18">
        <f t="shared" si="2"/>
        <v>0</v>
      </c>
    </row>
    <row r="19" spans="1:50" s="2" customFormat="1" ht="11.1" customHeight="1" x14ac:dyDescent="0.25">
      <c r="A19" s="6">
        <v>14</v>
      </c>
      <c r="B19" s="46" t="s">
        <v>40</v>
      </c>
      <c r="C19" s="15">
        <v>11</v>
      </c>
      <c r="D19" s="15">
        <v>10</v>
      </c>
      <c r="E19" s="15">
        <v>20</v>
      </c>
      <c r="F19" s="3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22"/>
      <c r="AR19" s="26">
        <v>36</v>
      </c>
      <c r="AS19" s="23"/>
      <c r="AT19" s="19">
        <f>CEILING(SUM(AT20:AT24),1)</f>
        <v>0</v>
      </c>
      <c r="AU19" s="23"/>
      <c r="AV19" s="19">
        <f t="shared" ref="AV19:AX19" si="5">CEILING(SUM(AV20:AV24),1)</f>
        <v>0</v>
      </c>
      <c r="AW19" s="23"/>
      <c r="AX19" s="19">
        <f t="shared" si="5"/>
        <v>0</v>
      </c>
    </row>
    <row r="20" spans="1:50" s="2" customFormat="1" ht="11.1" customHeight="1" x14ac:dyDescent="0.25">
      <c r="A20" s="6">
        <v>15</v>
      </c>
      <c r="B20" s="42"/>
      <c r="C20" s="15">
        <v>1</v>
      </c>
      <c r="D20" s="15">
        <v>10</v>
      </c>
      <c r="E20" s="15">
        <v>10</v>
      </c>
      <c r="F20" s="3">
        <v>15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22"/>
      <c r="AR20" s="25">
        <f t="shared" si="1"/>
        <v>0</v>
      </c>
      <c r="AS20" s="24"/>
      <c r="AT20" s="18">
        <f t="shared" si="2"/>
        <v>0</v>
      </c>
      <c r="AU20" s="24"/>
      <c r="AV20" s="18">
        <f t="shared" si="2"/>
        <v>0</v>
      </c>
      <c r="AW20" s="24"/>
      <c r="AX20" s="18">
        <f t="shared" si="2"/>
        <v>0</v>
      </c>
    </row>
    <row r="21" spans="1:50" s="2" customFormat="1" ht="11.1" customHeight="1" x14ac:dyDescent="0.25">
      <c r="A21" s="6">
        <v>16</v>
      </c>
      <c r="B21" s="42"/>
      <c r="C21" s="15">
        <v>1</v>
      </c>
      <c r="D21" s="15">
        <v>11</v>
      </c>
      <c r="E21" s="15">
        <v>11</v>
      </c>
      <c r="F21" s="3">
        <v>21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22"/>
      <c r="AR21" s="25">
        <f t="shared" si="1"/>
        <v>0</v>
      </c>
      <c r="AS21" s="24"/>
      <c r="AT21" s="18">
        <f t="shared" si="2"/>
        <v>0</v>
      </c>
      <c r="AU21" s="24"/>
      <c r="AV21" s="18">
        <f t="shared" si="2"/>
        <v>0</v>
      </c>
      <c r="AW21" s="24"/>
      <c r="AX21" s="18">
        <f t="shared" si="2"/>
        <v>0</v>
      </c>
    </row>
    <row r="22" spans="1:50" s="2" customFormat="1" ht="11.1" customHeight="1" x14ac:dyDescent="0.25">
      <c r="A22" s="6">
        <v>17</v>
      </c>
      <c r="B22" s="42"/>
      <c r="C22" s="15"/>
      <c r="D22" s="15"/>
      <c r="E22" s="15"/>
      <c r="F22" s="3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22"/>
      <c r="AR22" s="25">
        <f t="shared" si="1"/>
        <v>0</v>
      </c>
      <c r="AS22" s="24"/>
      <c r="AT22" s="18">
        <f t="shared" si="2"/>
        <v>0</v>
      </c>
      <c r="AU22" s="24"/>
      <c r="AV22" s="18">
        <f t="shared" si="2"/>
        <v>0</v>
      </c>
      <c r="AW22" s="24"/>
      <c r="AX22" s="18">
        <f t="shared" si="2"/>
        <v>0</v>
      </c>
    </row>
    <row r="23" spans="1:50" s="2" customFormat="1" ht="11.1" customHeight="1" x14ac:dyDescent="0.25">
      <c r="A23" s="6">
        <v>18</v>
      </c>
      <c r="B23" s="42"/>
      <c r="C23" s="15">
        <v>4</v>
      </c>
      <c r="D23" s="15">
        <v>12</v>
      </c>
      <c r="E23" s="15">
        <v>15</v>
      </c>
      <c r="F23" s="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22"/>
      <c r="AR23" s="25">
        <f t="shared" si="1"/>
        <v>0</v>
      </c>
      <c r="AS23" s="24"/>
      <c r="AT23" s="18">
        <f t="shared" ref="AT23:AX23" si="6">$AR23*AS23</f>
        <v>0</v>
      </c>
      <c r="AU23" s="24"/>
      <c r="AV23" s="18">
        <f t="shared" si="6"/>
        <v>0</v>
      </c>
      <c r="AW23" s="24"/>
      <c r="AX23" s="18">
        <f t="shared" si="6"/>
        <v>0</v>
      </c>
    </row>
    <row r="24" spans="1:50" s="2" customFormat="1" ht="11.1" customHeight="1" x14ac:dyDescent="0.25">
      <c r="A24" s="6">
        <v>19</v>
      </c>
      <c r="B24" s="42"/>
      <c r="C24" s="15">
        <v>2</v>
      </c>
      <c r="D24" s="15">
        <v>13</v>
      </c>
      <c r="E24" s="15">
        <v>14</v>
      </c>
      <c r="F24" s="3">
        <v>24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22"/>
      <c r="AR24" s="25">
        <f t="shared" si="1"/>
        <v>0</v>
      </c>
      <c r="AS24" s="24"/>
      <c r="AT24" s="18">
        <f t="shared" si="2"/>
        <v>0</v>
      </c>
      <c r="AU24" s="24"/>
      <c r="AV24" s="18">
        <f t="shared" si="2"/>
        <v>0</v>
      </c>
      <c r="AW24" s="24"/>
      <c r="AX24" s="18">
        <f t="shared" si="2"/>
        <v>0</v>
      </c>
    </row>
    <row r="25" spans="1:50" ht="11.1" customHeight="1" x14ac:dyDescent="0.25">
      <c r="A25" s="6">
        <v>20</v>
      </c>
      <c r="B25" s="46" t="s">
        <v>41</v>
      </c>
      <c r="C25" s="15">
        <v>42</v>
      </c>
      <c r="D25" s="15">
        <v>1</v>
      </c>
      <c r="E25" s="15">
        <v>42</v>
      </c>
      <c r="F25" s="3"/>
      <c r="AQ25" s="21"/>
      <c r="AR25" s="26">
        <v>36</v>
      </c>
      <c r="AS25" s="23"/>
      <c r="AT25" s="19">
        <f>CEILING(SUM(AT26:AT33),1)</f>
        <v>0</v>
      </c>
      <c r="AU25" s="23"/>
      <c r="AV25" s="19">
        <f t="shared" ref="AV25:AX25" si="7">CEILING(SUM(AV26:AV33),1)</f>
        <v>0</v>
      </c>
      <c r="AW25" s="23"/>
      <c r="AX25" s="19">
        <f t="shared" si="7"/>
        <v>0</v>
      </c>
    </row>
    <row r="26" spans="1:50" ht="11.1" customHeight="1" x14ac:dyDescent="0.25">
      <c r="A26" s="6">
        <v>21</v>
      </c>
      <c r="B26" s="42"/>
      <c r="C26" s="15">
        <v>2</v>
      </c>
      <c r="D26" s="15">
        <v>1</v>
      </c>
      <c r="E26" s="15">
        <v>2</v>
      </c>
      <c r="F26" s="3"/>
      <c r="AQ26" s="21"/>
      <c r="AR26" s="25">
        <f t="shared" si="1"/>
        <v>0</v>
      </c>
      <c r="AS26" s="24"/>
      <c r="AT26" s="18">
        <f t="shared" si="2"/>
        <v>0</v>
      </c>
      <c r="AU26" s="24"/>
      <c r="AV26" s="18">
        <f t="shared" si="2"/>
        <v>0</v>
      </c>
      <c r="AW26" s="24"/>
      <c r="AX26" s="18">
        <f t="shared" si="2"/>
        <v>0</v>
      </c>
    </row>
    <row r="27" spans="1:50" ht="11.1" customHeight="1" x14ac:dyDescent="0.25">
      <c r="A27" s="6">
        <v>22</v>
      </c>
      <c r="B27" s="42"/>
      <c r="C27" s="15">
        <v>40</v>
      </c>
      <c r="D27" s="15">
        <v>3</v>
      </c>
      <c r="E27" s="15">
        <v>42</v>
      </c>
      <c r="F27" s="3">
        <v>61</v>
      </c>
      <c r="AQ27" s="21"/>
      <c r="AR27" s="25">
        <f t="shared" si="1"/>
        <v>0</v>
      </c>
      <c r="AS27" s="24"/>
      <c r="AT27" s="18">
        <f t="shared" si="2"/>
        <v>0</v>
      </c>
      <c r="AU27" s="24"/>
      <c r="AV27" s="18">
        <f t="shared" si="2"/>
        <v>0</v>
      </c>
      <c r="AW27" s="24"/>
      <c r="AX27" s="18">
        <f t="shared" si="2"/>
        <v>0</v>
      </c>
    </row>
    <row r="28" spans="1:50" ht="11.1" customHeight="1" x14ac:dyDescent="0.25">
      <c r="A28" s="6">
        <v>23</v>
      </c>
      <c r="B28" s="42"/>
      <c r="C28" s="15">
        <v>2</v>
      </c>
      <c r="D28" s="15">
        <v>1</v>
      </c>
      <c r="E28" s="15">
        <v>2</v>
      </c>
      <c r="F28" s="3"/>
      <c r="AQ28" s="21"/>
      <c r="AR28" s="25">
        <f t="shared" si="1"/>
        <v>0</v>
      </c>
      <c r="AS28" s="24"/>
      <c r="AT28" s="18">
        <f t="shared" si="2"/>
        <v>0</v>
      </c>
      <c r="AU28" s="24"/>
      <c r="AV28" s="18">
        <f t="shared" si="2"/>
        <v>0</v>
      </c>
      <c r="AW28" s="24"/>
      <c r="AX28" s="18">
        <f t="shared" si="2"/>
        <v>0</v>
      </c>
    </row>
    <row r="29" spans="1:50" ht="11.1" customHeight="1" x14ac:dyDescent="0.25">
      <c r="A29" s="6">
        <v>24</v>
      </c>
      <c r="B29" s="42"/>
      <c r="C29" s="15">
        <v>2</v>
      </c>
      <c r="D29" s="15">
        <v>3</v>
      </c>
      <c r="E29" s="15">
        <v>4</v>
      </c>
      <c r="F29" s="3">
        <v>63</v>
      </c>
      <c r="AQ29" s="21"/>
      <c r="AR29" s="25">
        <f t="shared" si="1"/>
        <v>0</v>
      </c>
      <c r="AS29" s="24"/>
      <c r="AT29" s="18">
        <f t="shared" si="2"/>
        <v>0</v>
      </c>
      <c r="AU29" s="24"/>
      <c r="AV29" s="18">
        <f t="shared" si="2"/>
        <v>0</v>
      </c>
      <c r="AW29" s="24"/>
      <c r="AX29" s="18">
        <f t="shared" si="2"/>
        <v>0</v>
      </c>
    </row>
    <row r="30" spans="1:50" ht="11.1" customHeight="1" x14ac:dyDescent="0.25">
      <c r="A30" s="6">
        <v>25</v>
      </c>
      <c r="B30" s="42"/>
      <c r="C30" s="15"/>
      <c r="D30" s="15"/>
      <c r="E30" s="15"/>
      <c r="F30" s="3"/>
      <c r="AQ30" s="21"/>
      <c r="AR30" s="25">
        <f t="shared" si="1"/>
        <v>0</v>
      </c>
      <c r="AS30" s="24"/>
      <c r="AT30" s="18">
        <f t="shared" si="2"/>
        <v>0</v>
      </c>
      <c r="AU30" s="24"/>
      <c r="AV30" s="18">
        <f t="shared" si="2"/>
        <v>0</v>
      </c>
      <c r="AW30" s="24"/>
      <c r="AX30" s="18">
        <f t="shared" si="2"/>
        <v>0</v>
      </c>
    </row>
    <row r="31" spans="1:50" ht="11.1" customHeight="1" x14ac:dyDescent="0.25">
      <c r="A31" s="6">
        <v>26</v>
      </c>
      <c r="B31" s="42"/>
      <c r="C31" s="15">
        <v>38</v>
      </c>
      <c r="D31" s="15">
        <v>5</v>
      </c>
      <c r="E31" s="15">
        <v>42</v>
      </c>
      <c r="F31" s="3" t="s">
        <v>11</v>
      </c>
      <c r="AQ31" s="21"/>
      <c r="AR31" s="25">
        <f t="shared" si="1"/>
        <v>0</v>
      </c>
      <c r="AS31" s="24"/>
      <c r="AT31" s="18">
        <f t="shared" si="2"/>
        <v>0</v>
      </c>
      <c r="AU31" s="24"/>
      <c r="AV31" s="18">
        <f t="shared" si="2"/>
        <v>0</v>
      </c>
      <c r="AW31" s="24"/>
      <c r="AX31" s="18">
        <f t="shared" si="2"/>
        <v>0</v>
      </c>
    </row>
    <row r="32" spans="1:50" ht="11.1" customHeight="1" x14ac:dyDescent="0.25">
      <c r="A32" s="6">
        <v>27</v>
      </c>
      <c r="B32" s="4"/>
      <c r="C32" s="4"/>
      <c r="D32" s="4"/>
      <c r="E32" s="4"/>
      <c r="F32" s="3"/>
      <c r="AQ32" s="21"/>
      <c r="AR32" s="25">
        <f t="shared" si="1"/>
        <v>0</v>
      </c>
      <c r="AS32" s="24"/>
      <c r="AT32" s="18">
        <f t="shared" si="2"/>
        <v>0</v>
      </c>
      <c r="AU32" s="24"/>
      <c r="AV32" s="18">
        <f t="shared" si="2"/>
        <v>0</v>
      </c>
      <c r="AW32" s="24"/>
      <c r="AX32" s="18">
        <f t="shared" si="2"/>
        <v>0</v>
      </c>
    </row>
    <row r="33" spans="1:50" ht="11.1" customHeight="1" x14ac:dyDescent="0.25">
      <c r="A33" s="28">
        <v>28</v>
      </c>
      <c r="B33" s="47"/>
      <c r="C33" s="47"/>
      <c r="D33" s="47"/>
      <c r="E33" s="47"/>
      <c r="F33" s="48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89"/>
      <c r="AQ33" s="21"/>
      <c r="AR33" s="25">
        <f t="shared" si="1"/>
        <v>0</v>
      </c>
      <c r="AS33" s="24"/>
      <c r="AT33" s="18">
        <f t="shared" ref="AT33:AX33" si="8">$AR33*AS33</f>
        <v>0</v>
      </c>
      <c r="AU33" s="24"/>
      <c r="AV33" s="18">
        <f t="shared" si="8"/>
        <v>0</v>
      </c>
      <c r="AW33" s="24"/>
      <c r="AX33" s="18">
        <f t="shared" si="8"/>
        <v>0</v>
      </c>
    </row>
    <row r="34" spans="1:50" ht="11.1" customHeight="1" x14ac:dyDescent="0.25">
      <c r="B34" s="4"/>
      <c r="AO34" s="90" t="s">
        <v>43</v>
      </c>
      <c r="AP34" s="90"/>
      <c r="AQ34" s="90"/>
      <c r="AR34" s="90"/>
      <c r="AS34" s="90"/>
      <c r="AT34" s="19">
        <f>SUM(AT6,AT10,AT15,AT19,AT25)</f>
        <v>15</v>
      </c>
      <c r="AU34" s="32"/>
      <c r="AV34" s="19">
        <f>SUM(AV6,AV10,AV15,AV19,AV25)</f>
        <v>1</v>
      </c>
      <c r="AW34" s="32"/>
      <c r="AX34" s="19">
        <f>SUM(AX6,AX10,AX15,AX19,AX25)</f>
        <v>4</v>
      </c>
    </row>
    <row r="36" spans="1:50" x14ac:dyDescent="0.25">
      <c r="B36" s="51"/>
    </row>
    <row r="37" spans="1:50" x14ac:dyDescent="0.25">
      <c r="B37" s="52"/>
    </row>
  </sheetData>
  <mergeCells count="17">
    <mergeCell ref="AO34:AS34"/>
    <mergeCell ref="A4:A5"/>
    <mergeCell ref="G6:AP6"/>
    <mergeCell ref="B4:B5"/>
    <mergeCell ref="C3:C5"/>
    <mergeCell ref="D3:D5"/>
    <mergeCell ref="E3:E5"/>
    <mergeCell ref="F3:F5"/>
    <mergeCell ref="G3:H3"/>
    <mergeCell ref="I3:T3"/>
    <mergeCell ref="U3:AF3"/>
    <mergeCell ref="AR2:AR5"/>
    <mergeCell ref="AS2:AT4"/>
    <mergeCell ref="AU2:AV4"/>
    <mergeCell ref="AW2:AX4"/>
    <mergeCell ref="AQ2:AQ5"/>
    <mergeCell ref="AG3:AP3"/>
  </mergeCells>
  <pageMargins left="0.25" right="0.25" top="0.75" bottom="0.75" header="0.3" footer="0.3"/>
  <pageSetup paperSize="9" scale="7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F12"/>
  <sheetViews>
    <sheetView workbookViewId="0">
      <selection activeCell="E9" sqref="E9"/>
    </sheetView>
  </sheetViews>
  <sheetFormatPr defaultRowHeight="15" x14ac:dyDescent="0.25"/>
  <cols>
    <col min="2" max="2" width="26.5703125" bestFit="1" customWidth="1"/>
    <col min="3" max="6" width="10.28515625" bestFit="1" customWidth="1"/>
  </cols>
  <sheetData>
    <row r="2" spans="2:6" x14ac:dyDescent="0.25">
      <c r="C2" s="53" t="s">
        <v>13</v>
      </c>
      <c r="D2" s="53" t="s">
        <v>32</v>
      </c>
      <c r="E2" s="53" t="s">
        <v>19</v>
      </c>
    </row>
    <row r="3" spans="2:6" x14ac:dyDescent="0.25">
      <c r="B3" s="29" t="s">
        <v>20</v>
      </c>
      <c r="C3" s="37">
        <f>Timeline!AT34</f>
        <v>15</v>
      </c>
      <c r="D3" s="37">
        <f>Timeline!AV34</f>
        <v>1</v>
      </c>
      <c r="E3" s="37">
        <f>Timeline!AX34</f>
        <v>4</v>
      </c>
    </row>
    <row r="4" spans="2:6" x14ac:dyDescent="0.25">
      <c r="B4" s="29" t="s">
        <v>21</v>
      </c>
      <c r="C4" s="54">
        <f>'Partner 1'!C4</f>
        <v>1600</v>
      </c>
      <c r="D4" s="54">
        <f>'Partner 2'!C4</f>
        <v>8975</v>
      </c>
      <c r="E4" s="54">
        <f>'Partner 3'!C4</f>
        <v>5000</v>
      </c>
    </row>
    <row r="5" spans="2:6" x14ac:dyDescent="0.25">
      <c r="B5" s="29" t="s">
        <v>22</v>
      </c>
      <c r="C5" s="55">
        <f t="shared" ref="C5:E5" si="0">C4*C3</f>
        <v>24000</v>
      </c>
      <c r="D5" s="55">
        <f t="shared" si="0"/>
        <v>8975</v>
      </c>
      <c r="E5" s="55">
        <f t="shared" si="0"/>
        <v>20000</v>
      </c>
    </row>
    <row r="6" spans="2:6" x14ac:dyDescent="0.25">
      <c r="B6" s="29" t="s">
        <v>23</v>
      </c>
      <c r="C6" s="31">
        <f>'Partner 1'!C6</f>
        <v>25000</v>
      </c>
      <c r="D6" s="31">
        <f>'Partner 2'!C6</f>
        <v>25000</v>
      </c>
      <c r="E6" s="54">
        <f>'Partner 3'!C6</f>
        <v>25000</v>
      </c>
    </row>
    <row r="7" spans="2:6" x14ac:dyDescent="0.25">
      <c r="B7" s="29" t="s">
        <v>24</v>
      </c>
      <c r="C7" s="54"/>
      <c r="D7" s="54"/>
      <c r="E7" s="54"/>
    </row>
    <row r="8" spans="2:6" x14ac:dyDescent="0.25">
      <c r="B8" s="29" t="s">
        <v>25</v>
      </c>
      <c r="C8" s="31">
        <f>'Partner 1'!C8</f>
        <v>1000</v>
      </c>
      <c r="D8" s="31">
        <f>'Partner 2'!C8</f>
        <v>1000</v>
      </c>
      <c r="E8" s="54">
        <f>'Partner 3'!C8</f>
        <v>10000</v>
      </c>
    </row>
    <row r="9" spans="2:6" x14ac:dyDescent="0.25">
      <c r="B9" s="29" t="s">
        <v>26</v>
      </c>
      <c r="C9" s="55">
        <f t="shared" ref="C9:E9" si="1">SUM(C6:C8)</f>
        <v>26000</v>
      </c>
      <c r="D9" s="55">
        <f t="shared" si="1"/>
        <v>26000</v>
      </c>
      <c r="E9" s="55">
        <f t="shared" si="1"/>
        <v>35000</v>
      </c>
    </row>
    <row r="10" spans="2:6" x14ac:dyDescent="0.25">
      <c r="B10" s="29" t="s">
        <v>27</v>
      </c>
      <c r="C10" s="54">
        <v>0</v>
      </c>
      <c r="D10" s="54">
        <v>0</v>
      </c>
      <c r="E10" s="54">
        <v>0</v>
      </c>
    </row>
    <row r="11" spans="2:6" ht="15.75" thickBot="1" x14ac:dyDescent="0.3">
      <c r="B11" s="29" t="s">
        <v>28</v>
      </c>
      <c r="C11" s="56">
        <f t="shared" ref="C11:E11" si="2">0.25*(C5+C9)</f>
        <v>12500</v>
      </c>
      <c r="D11" s="56">
        <f t="shared" si="2"/>
        <v>8743.75</v>
      </c>
      <c r="E11" s="56">
        <f t="shared" si="2"/>
        <v>13750</v>
      </c>
    </row>
    <row r="12" spans="2:6" ht="15.75" thickBot="1" x14ac:dyDescent="0.3">
      <c r="B12" s="30" t="s">
        <v>29</v>
      </c>
      <c r="C12" s="57">
        <f t="shared" ref="C12:E12" si="3">SUM(C5,C9,C10,C11)</f>
        <v>62500</v>
      </c>
      <c r="D12" s="57">
        <f t="shared" si="3"/>
        <v>43718.75</v>
      </c>
      <c r="E12" s="66">
        <f t="shared" si="3"/>
        <v>68750</v>
      </c>
      <c r="F12" s="65">
        <f>SUM(C12:E12)</f>
        <v>174968.75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"/>
  <sheetViews>
    <sheetView workbookViewId="0">
      <selection activeCell="A4" sqref="A4"/>
    </sheetView>
  </sheetViews>
  <sheetFormatPr defaultRowHeight="15" x14ac:dyDescent="0.25"/>
  <sheetData>
    <row r="4" spans="1:8" ht="15.75" thickBot="1" x14ac:dyDescent="0.3">
      <c r="A4" t="s">
        <v>42</v>
      </c>
      <c r="C4">
        <v>1</v>
      </c>
      <c r="D4">
        <v>5</v>
      </c>
      <c r="E4">
        <v>10</v>
      </c>
      <c r="F4">
        <v>14</v>
      </c>
      <c r="G4">
        <v>20</v>
      </c>
    </row>
    <row r="5" spans="1:8" x14ac:dyDescent="0.25">
      <c r="B5" s="58"/>
      <c r="C5" s="39" t="s">
        <v>4</v>
      </c>
      <c r="D5" s="39" t="s">
        <v>5</v>
      </c>
      <c r="E5" s="39" t="s">
        <v>6</v>
      </c>
      <c r="F5" s="39" t="s">
        <v>7</v>
      </c>
      <c r="G5" s="39" t="s">
        <v>8</v>
      </c>
      <c r="H5" s="59" t="s">
        <v>33</v>
      </c>
    </row>
    <row r="6" spans="1:8" x14ac:dyDescent="0.25">
      <c r="A6">
        <v>2</v>
      </c>
      <c r="B6" s="58" t="s">
        <v>35</v>
      </c>
      <c r="C6" s="60">
        <f>INDEX(Timeline!$AS$6:$AX$33,WP!C$4,WP!$A6)</f>
        <v>15</v>
      </c>
      <c r="D6" s="60">
        <f>INDEX(Timeline!$AS$6:$AX$33,WP!D$4,WP!$A6)</f>
        <v>0</v>
      </c>
      <c r="E6" s="60">
        <f>INDEX(Timeline!$AS$6:$AX$33,WP!E$4,WP!$A6)</f>
        <v>0</v>
      </c>
      <c r="F6" s="60">
        <f>INDEX(Timeline!$AS$6:$AX$33,WP!F$4,WP!$A6)</f>
        <v>0</v>
      </c>
      <c r="G6" s="60">
        <f>INDEX(Timeline!$AS$6:$AX$33,WP!G$4,WP!$A6)</f>
        <v>0</v>
      </c>
      <c r="H6" s="61">
        <f>SUM(C6:G6)</f>
        <v>15</v>
      </c>
    </row>
    <row r="7" spans="1:8" x14ac:dyDescent="0.25">
      <c r="A7">
        <v>4</v>
      </c>
      <c r="B7" s="58" t="s">
        <v>36</v>
      </c>
      <c r="C7" s="60">
        <f>INDEX(Timeline!$AS$6:$AX$33,WP!C$4,WP!$A7)</f>
        <v>1</v>
      </c>
      <c r="D7" s="60">
        <f>INDEX(Timeline!$AS$6:$AX$33,WP!D$4,WP!$A7)</f>
        <v>0</v>
      </c>
      <c r="E7" s="60">
        <f>INDEX(Timeline!$AS$6:$AX$33,WP!E$4,WP!$A7)</f>
        <v>0</v>
      </c>
      <c r="F7" s="60">
        <f>INDEX(Timeline!$AS$6:$AX$33,WP!F$4,WP!$A7)</f>
        <v>0</v>
      </c>
      <c r="G7" s="60">
        <f>INDEX(Timeline!$AS$6:$AX$33,WP!G$4,WP!$A7)</f>
        <v>0</v>
      </c>
      <c r="H7" s="61">
        <f>SUM(C7:G7)</f>
        <v>1</v>
      </c>
    </row>
    <row r="8" spans="1:8" ht="15.75" thickBot="1" x14ac:dyDescent="0.3">
      <c r="A8">
        <v>6</v>
      </c>
      <c r="B8" s="58" t="s">
        <v>37</v>
      </c>
      <c r="C8" s="60">
        <f>INDEX(Timeline!$AS$6:$AX$33,WP!C$4,WP!$A8)</f>
        <v>4</v>
      </c>
      <c r="D8" s="60">
        <f>INDEX(Timeline!$AS$6:$AX$33,WP!D$4,WP!$A8)</f>
        <v>0</v>
      </c>
      <c r="E8" s="60">
        <f>INDEX(Timeline!$AS$6:$AX$33,WP!E$4,WP!$A8)</f>
        <v>0</v>
      </c>
      <c r="F8" s="60">
        <f>INDEX(Timeline!$AS$6:$AX$33,WP!F$4,WP!$A8)</f>
        <v>0</v>
      </c>
      <c r="G8" s="60">
        <f>INDEX(Timeline!$AS$6:$AX$33,WP!G$4,WP!$A8)</f>
        <v>0</v>
      </c>
      <c r="H8" s="61">
        <f>SUM(C8:G8)</f>
        <v>4</v>
      </c>
    </row>
    <row r="9" spans="1:8" ht="15.75" thickBot="1" x14ac:dyDescent="0.3">
      <c r="B9" s="62" t="s">
        <v>33</v>
      </c>
      <c r="C9" s="63">
        <f t="shared" ref="C9:H9" si="0">SUM(C6:C8)</f>
        <v>20</v>
      </c>
      <c r="D9" s="63">
        <f t="shared" si="0"/>
        <v>0</v>
      </c>
      <c r="E9" s="63">
        <f t="shared" si="0"/>
        <v>0</v>
      </c>
      <c r="F9" s="63">
        <f t="shared" si="0"/>
        <v>0</v>
      </c>
      <c r="G9" s="63">
        <f t="shared" si="0"/>
        <v>0</v>
      </c>
      <c r="H9" s="64">
        <f t="shared" si="0"/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D12"/>
  <sheetViews>
    <sheetView workbookViewId="0">
      <selection activeCell="C6" sqref="C6"/>
    </sheetView>
  </sheetViews>
  <sheetFormatPr defaultRowHeight="15" x14ac:dyDescent="0.25"/>
  <cols>
    <col min="2" max="2" width="26.5703125" bestFit="1" customWidth="1"/>
    <col min="3" max="3" width="11.28515625" customWidth="1"/>
    <col min="4" max="4" width="127.5703125" bestFit="1" customWidth="1"/>
  </cols>
  <sheetData>
    <row r="2" spans="2:4" x14ac:dyDescent="0.25">
      <c r="D2" s="39" t="s">
        <v>30</v>
      </c>
    </row>
    <row r="3" spans="2:4" x14ac:dyDescent="0.25">
      <c r="B3" s="29" t="s">
        <v>20</v>
      </c>
      <c r="C3" s="33">
        <f>Timeline!AT34</f>
        <v>15</v>
      </c>
      <c r="D3" s="37"/>
    </row>
    <row r="4" spans="2:4" x14ac:dyDescent="0.25">
      <c r="B4" s="29" t="s">
        <v>21</v>
      </c>
      <c r="C4" s="31">
        <v>1600</v>
      </c>
      <c r="D4" s="37"/>
    </row>
    <row r="5" spans="2:4" x14ac:dyDescent="0.25">
      <c r="B5" s="29" t="s">
        <v>22</v>
      </c>
      <c r="C5" s="34">
        <f>C4*C3</f>
        <v>24000</v>
      </c>
      <c r="D5" s="37"/>
    </row>
    <row r="6" spans="2:4" x14ac:dyDescent="0.25">
      <c r="B6" s="29" t="s">
        <v>23</v>
      </c>
      <c r="C6" s="31">
        <v>25000</v>
      </c>
      <c r="D6" s="40" t="s">
        <v>31</v>
      </c>
    </row>
    <row r="7" spans="2:4" x14ac:dyDescent="0.25">
      <c r="B7" s="29" t="s">
        <v>24</v>
      </c>
      <c r="C7" s="38"/>
      <c r="D7" s="37"/>
    </row>
    <row r="8" spans="2:4" x14ac:dyDescent="0.25">
      <c r="B8" s="29" t="s">
        <v>25</v>
      </c>
      <c r="C8" s="31">
        <v>1000</v>
      </c>
      <c r="D8" s="32"/>
    </row>
    <row r="9" spans="2:4" x14ac:dyDescent="0.25">
      <c r="B9" s="29" t="s">
        <v>26</v>
      </c>
      <c r="C9" s="34">
        <f>SUM(C6:C8)</f>
        <v>26000</v>
      </c>
      <c r="D9" s="37"/>
    </row>
    <row r="10" spans="2:4" x14ac:dyDescent="0.25">
      <c r="B10" s="29" t="s">
        <v>27</v>
      </c>
      <c r="C10" s="31">
        <v>0</v>
      </c>
      <c r="D10" s="32"/>
    </row>
    <row r="11" spans="2:4" ht="15.75" thickBot="1" x14ac:dyDescent="0.3">
      <c r="B11" s="29" t="s">
        <v>28</v>
      </c>
      <c r="C11" s="35">
        <f>0.25*(C5+C9)</f>
        <v>12500</v>
      </c>
      <c r="D11" s="37"/>
    </row>
    <row r="12" spans="2:4" ht="15.75" thickBot="1" x14ac:dyDescent="0.3">
      <c r="B12" s="30" t="s">
        <v>29</v>
      </c>
      <c r="C12" s="36">
        <f>SUM(C11,C10,C9,C5)</f>
        <v>62500</v>
      </c>
      <c r="D12" s="37"/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D12"/>
  <sheetViews>
    <sheetView workbookViewId="0">
      <selection activeCell="C9" sqref="C9"/>
    </sheetView>
  </sheetViews>
  <sheetFormatPr defaultRowHeight="15" x14ac:dyDescent="0.25"/>
  <cols>
    <col min="2" max="2" width="26.5703125" bestFit="1" customWidth="1"/>
    <col min="3" max="3" width="11.28515625" customWidth="1"/>
    <col min="4" max="4" width="127.5703125" bestFit="1" customWidth="1"/>
  </cols>
  <sheetData>
    <row r="2" spans="2:4" x14ac:dyDescent="0.25">
      <c r="D2" s="39" t="s">
        <v>30</v>
      </c>
    </row>
    <row r="3" spans="2:4" x14ac:dyDescent="0.25">
      <c r="B3" s="29" t="s">
        <v>20</v>
      </c>
      <c r="C3" s="33">
        <f>Timeline!AV34</f>
        <v>1</v>
      </c>
      <c r="D3" s="37"/>
    </row>
    <row r="4" spans="2:4" x14ac:dyDescent="0.25">
      <c r="B4" s="29" t="s">
        <v>21</v>
      </c>
      <c r="C4" s="31">
        <v>8975</v>
      </c>
      <c r="D4" s="37"/>
    </row>
    <row r="5" spans="2:4" x14ac:dyDescent="0.25">
      <c r="B5" s="29" t="s">
        <v>22</v>
      </c>
      <c r="C5" s="34">
        <f>C4*C3</f>
        <v>8975</v>
      </c>
      <c r="D5" s="37"/>
    </row>
    <row r="6" spans="2:4" x14ac:dyDescent="0.25">
      <c r="B6" s="29" t="s">
        <v>23</v>
      </c>
      <c r="C6" s="31">
        <v>25000</v>
      </c>
      <c r="D6" s="40" t="s">
        <v>31</v>
      </c>
    </row>
    <row r="7" spans="2:4" x14ac:dyDescent="0.25">
      <c r="B7" s="29" t="s">
        <v>24</v>
      </c>
      <c r="C7" s="38"/>
      <c r="D7" s="37"/>
    </row>
    <row r="8" spans="2:4" x14ac:dyDescent="0.25">
      <c r="B8" s="29" t="s">
        <v>25</v>
      </c>
      <c r="C8" s="31">
        <v>1000</v>
      </c>
      <c r="D8" s="32"/>
    </row>
    <row r="9" spans="2:4" x14ac:dyDescent="0.25">
      <c r="B9" s="29" t="s">
        <v>26</v>
      </c>
      <c r="C9" s="34">
        <f>SUM(C6:C8)</f>
        <v>26000</v>
      </c>
      <c r="D9" s="37"/>
    </row>
    <row r="10" spans="2:4" x14ac:dyDescent="0.25">
      <c r="B10" s="29" t="s">
        <v>27</v>
      </c>
      <c r="C10" s="31">
        <v>0</v>
      </c>
      <c r="D10" s="32"/>
    </row>
    <row r="11" spans="2:4" ht="15.75" thickBot="1" x14ac:dyDescent="0.3">
      <c r="B11" s="29" t="s">
        <v>28</v>
      </c>
      <c r="C11" s="35">
        <f>0.25*(C5+C9)</f>
        <v>8743.75</v>
      </c>
      <c r="D11" s="37"/>
    </row>
    <row r="12" spans="2:4" ht="15.75" thickBot="1" x14ac:dyDescent="0.3">
      <c r="B12" s="30" t="s">
        <v>29</v>
      </c>
      <c r="C12" s="36">
        <f>SUM(C11,C10,C9,C5)</f>
        <v>43718.75</v>
      </c>
      <c r="D12" s="37"/>
    </row>
  </sheetData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D12"/>
  <sheetViews>
    <sheetView workbookViewId="0">
      <selection activeCell="C9" sqref="C9"/>
    </sheetView>
  </sheetViews>
  <sheetFormatPr defaultRowHeight="15" x14ac:dyDescent="0.25"/>
  <cols>
    <col min="2" max="2" width="26.5703125" bestFit="1" customWidth="1"/>
    <col min="3" max="3" width="11.28515625" customWidth="1"/>
    <col min="4" max="4" width="127.5703125" bestFit="1" customWidth="1"/>
  </cols>
  <sheetData>
    <row r="2" spans="2:4" x14ac:dyDescent="0.25">
      <c r="D2" s="39" t="s">
        <v>30</v>
      </c>
    </row>
    <row r="3" spans="2:4" x14ac:dyDescent="0.25">
      <c r="B3" s="29" t="s">
        <v>20</v>
      </c>
      <c r="C3" s="33">
        <f>Timeline!AX34</f>
        <v>4</v>
      </c>
      <c r="D3" s="37"/>
    </row>
    <row r="4" spans="2:4" x14ac:dyDescent="0.25">
      <c r="B4" s="29" t="s">
        <v>21</v>
      </c>
      <c r="C4" s="31">
        <v>5000</v>
      </c>
      <c r="D4" s="37"/>
    </row>
    <row r="5" spans="2:4" x14ac:dyDescent="0.25">
      <c r="B5" s="29" t="s">
        <v>22</v>
      </c>
      <c r="C5" s="34">
        <f>C4*C3</f>
        <v>20000</v>
      </c>
      <c r="D5" s="37"/>
    </row>
    <row r="6" spans="2:4" x14ac:dyDescent="0.25">
      <c r="B6" s="29" t="s">
        <v>23</v>
      </c>
      <c r="C6" s="31">
        <v>25000</v>
      </c>
      <c r="D6" s="40" t="s">
        <v>31</v>
      </c>
    </row>
    <row r="7" spans="2:4" x14ac:dyDescent="0.25">
      <c r="B7" s="29" t="s">
        <v>24</v>
      </c>
      <c r="C7" s="38"/>
      <c r="D7" s="37"/>
    </row>
    <row r="8" spans="2:4" x14ac:dyDescent="0.25">
      <c r="B8" s="29" t="s">
        <v>25</v>
      </c>
      <c r="C8" s="31">
        <v>10000</v>
      </c>
      <c r="D8" s="32"/>
    </row>
    <row r="9" spans="2:4" x14ac:dyDescent="0.25">
      <c r="B9" s="29" t="s">
        <v>26</v>
      </c>
      <c r="C9" s="34">
        <f>SUM(C6:C8)</f>
        <v>35000</v>
      </c>
      <c r="D9" s="37"/>
    </row>
    <row r="10" spans="2:4" x14ac:dyDescent="0.25">
      <c r="B10" s="29" t="s">
        <v>27</v>
      </c>
      <c r="C10" s="31">
        <v>0</v>
      </c>
      <c r="D10" s="32"/>
    </row>
    <row r="11" spans="2:4" ht="15.75" thickBot="1" x14ac:dyDescent="0.3">
      <c r="B11" s="29" t="s">
        <v>28</v>
      </c>
      <c r="C11" s="35">
        <f>0.25*(C5+C9)</f>
        <v>13750</v>
      </c>
      <c r="D11" s="37"/>
    </row>
    <row r="12" spans="2:4" ht="15.75" thickBot="1" x14ac:dyDescent="0.3">
      <c r="B12" s="30" t="s">
        <v>29</v>
      </c>
      <c r="C12" s="36">
        <f>SUM(C11,C10,C9,C5)</f>
        <v>68750</v>
      </c>
      <c r="D12" s="37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Timeline</vt:lpstr>
      <vt:lpstr>Total</vt:lpstr>
      <vt:lpstr>WP</vt:lpstr>
      <vt:lpstr>Partner 1</vt:lpstr>
      <vt:lpstr>Partner 2</vt:lpstr>
      <vt:lpstr>Partner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Čech</dc:creator>
  <cp:lastModifiedBy>Pavel Čech</cp:lastModifiedBy>
  <cp:lastPrinted>2015-04-28T07:08:54Z</cp:lastPrinted>
  <dcterms:created xsi:type="dcterms:W3CDTF">2015-03-17T15:25:54Z</dcterms:created>
  <dcterms:modified xsi:type="dcterms:W3CDTF">2015-05-17T11:21:35Z</dcterms:modified>
</cp:coreProperties>
</file>